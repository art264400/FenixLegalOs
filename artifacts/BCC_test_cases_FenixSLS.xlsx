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c22b94e2c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94ce084364194b38"/>
    <x:sheet xmlns:r="http://schemas.openxmlformats.org/officeDocument/2006/relationships" name="Доказательства" sheetId="2" r:id="R8b4828c99313403c"/>
    <x:sheet xmlns:r="http://schemas.openxmlformats.org/officeDocument/2006/relationships" name="Контроль" sheetId="3" r:id="Rf1c3089a3653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B91C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  <x:fill>
      <x:patternFill patternType="solid">
        <x:fgColor rgb="FFFDECEC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fa6b106bd437e" /><Relationship Type="http://schemas.openxmlformats.org/officeDocument/2006/relationships/theme" Target="/xl/theme/theme1.xml" Id="Rbd7d51d0c0814e51" /><Relationship Type="http://schemas.openxmlformats.org/officeDocument/2006/relationships/sharedStrings" Target="/xl/sharedStrings.xml" Id="R27fa38582a4948c1" /><Relationship Type="http://schemas.openxmlformats.org/officeDocument/2006/relationships/worksheet" Target="/xl/worksheets/sheet1.xml" Id="R94ce084364194b38" /><Relationship Type="http://schemas.openxmlformats.org/officeDocument/2006/relationships/worksheet" Target="/xl/worksheets/sheet2.xml" Id="R8b4828c99313403c" /><Relationship Type="http://schemas.openxmlformats.org/officeDocument/2006/relationships/worksheet" Target="/xl/worksheets/sheet3.xml" Id="Rf1c3089a3653476e" /></Relationships>
</file>

<file path=xl/tables/table1.xml><?xml version="1.0" encoding="utf-8"?>
<x:table xmlns:x="http://schemas.openxmlformats.org/spreadsheetml/2006/main" id="1" name="FenixBccTestCases" displayName="FenixBccTestCases" ref="A1:AA8" headerRowCount="1" totalsRowCount="0" totalsRowShown="0">
  <x:tableColumns count="27">
    <x:tableColumn id="1" name="№ банка"/>
    <x:tableColumn id="2" name="№"/>
    <x:tableColumn id="3" name="Блок"/>
    <x:tableColumn id="4" name="Тест-кейс"/>
    <x:tableColumn id="5" name="TRTYPE"/>
    <x:tableColumn id="6" name="Карта / сценарий"/>
    <x:tableColumn id="7" name="Сумма"/>
    <x:tableColumn id="8" name="ORDER"/>
    <x:tableColumn id="9" name="RRN (ответ)"/>
    <x:tableColumn id="10" name="INT_REF (ответ)"/>
    <x:tableColumn id="11" name="APPROVAL"/>
    <x:tableColumn id="12" name="ACTION"/>
    <x:tableColumn id="13" name="RC"/>
    <x:tableColumn id="14" name="RC_TEXT"/>
    <x:tableColumn id="15" name="Дата и время"/>
    <x:tableColumn id="16" name="Результат"/>
    <x:tableColumn id="17" name="Примечание"/>
    <x:tableColumn id="18" name="Тело запроса (POST form-urlencoded → cgi_link)"/>
    <x:tableColumn id="19" name="TRAN_TRTYPE"/>
    <x:tableColumn id="20" name="ID платежа (БД)"/>
    <x:tableColumn id="21" name="Тариф"/>
    <x:tableColumn id="22" name="Статус в БД"/>
    <x:tableColumn id="23" name="Дата запуска"/>
    <x:tableColumn id="24" name="Ссылка на заказ"/>
    <x:tableColumn id="25" name="ID операций"/>
    <x:tableColumn id="26" name="HTTP-статус / аутентификация"/>
    <x:tableColumn id="27" name="Полный сохранённый ответ BCC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3845ebc286407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7" hidden="0" customWidth="1"/>
    <x:col min="3" max="3" width="20" hidden="0" customWidth="1"/>
    <x:col min="4" max="4" width="38" hidden="0" customWidth="1"/>
    <x:col min="5" max="5" width="12" hidden="0" customWidth="1"/>
    <x:col min="6" max="6" width="30" hidden="0" customWidth="1"/>
    <x:col min="7" max="7" width="14" hidden="0" customWidth="1"/>
    <x:col min="8" max="8" width="20" hidden="0" customWidth="1"/>
    <x:col min="9" max="9" width="19" hidden="0" customWidth="1"/>
    <x:col min="10" max="10" width="23" hidden="0" customWidth="1"/>
    <x:col min="11" max="11" width="17" hidden="0" customWidth="1"/>
    <x:col min="12" max="12" width="11" hidden="0" customWidth="1"/>
    <x:col min="13" max="13" width="11" hidden="0" customWidth="1"/>
    <x:col min="14" max="14" width="30" hidden="0" customWidth="1"/>
    <x:col min="15" max="15" width="22" hidden="0" customWidth="1"/>
    <x:col min="16" max="16" width="19" hidden="0" customWidth="1"/>
    <x:col min="17" max="17" width="56" hidden="0" customWidth="1"/>
    <x:col min="18" max="18" width="68" hidden="0" customWidth="1"/>
    <x:col min="19" max="19" width="17" hidden="0" customWidth="1"/>
    <x:col min="20" max="20" width="18" hidden="0" customWidth="1"/>
    <x:col min="21" max="21" width="25" hidden="0" customWidth="1"/>
    <x:col min="22" max="22" width="19" hidden="0" customWidth="1"/>
    <x:col min="23" max="23" width="22" hidden="0" customWidth="1"/>
    <x:col min="24" max="24" width="58" hidden="0" customWidth="1"/>
    <x:col min="25" max="25" width="25" hidden="0" customWidth="1"/>
    <x:col min="26" max="26" width="24" hidden="0" customWidth="1"/>
    <x:col min="27" max="27" width="68" hidden="0" customWidth="1"/>
  </x:cols>
  <x:sheetData>
    <x:row r="1" ht="42" customHeight="1">
      <x:c r="A1" s="7" t="str">
        <x:v>№ банка</x:v>
      </x:c>
      <x:c r="B1" s="7" t="str">
        <x:v>№</x:v>
      </x:c>
      <x:c r="C1" s="7" t="str">
        <x:v>Блок</x:v>
      </x:c>
      <x:c r="D1" s="7" t="str">
        <x:v>Тест-кейс</x:v>
      </x:c>
      <x:c r="E1" s="7" t="str">
        <x:v>TRTYPE</x:v>
      </x:c>
      <x:c r="F1" s="7" t="str">
        <x:v>Карта / сценарий</x:v>
      </x:c>
      <x:c r="G1" s="7" t="str">
        <x:v>Сумма</x:v>
      </x:c>
      <x:c r="H1" s="7" t="str">
        <x:v>ORDER</x:v>
      </x:c>
      <x:c r="I1" s="7" t="str">
        <x:v>RRN (ответ)</x:v>
      </x:c>
      <x:c r="J1" s="7" t="str">
        <x:v>INT_REF (ответ)</x:v>
      </x:c>
      <x:c r="K1" s="7" t="str">
        <x:v>APPROVAL</x:v>
      </x:c>
      <x:c r="L1" s="7" t="str">
        <x:v>ACTION</x:v>
      </x:c>
      <x:c r="M1" s="7" t="str">
        <x:v>RC</x:v>
      </x:c>
      <x:c r="N1" s="7" t="str">
        <x:v>RC_TEXT</x:v>
      </x:c>
      <x:c r="O1" s="7" t="str">
        <x:v>Дата и время</x:v>
      </x:c>
      <x:c r="P1" s="7" t="str">
        <x:v>Результат</x:v>
      </x:c>
      <x:c r="Q1" s="7" t="str">
        <x:v>Примечание</x:v>
      </x:c>
      <x:c r="R1" s="7" t="str">
        <x:v>Тело запроса (POST form-urlencoded → cgi_link)</x:v>
      </x:c>
      <x:c r="S1" s="7" t="str">
        <x:v>TRAN_TRTYPE</x:v>
      </x:c>
      <x:c r="T1" s="7" t="str">
        <x:v>ID платежа (БД)</x:v>
      </x:c>
      <x:c r="U1" s="7" t="str">
        <x:v>Тариф</x:v>
      </x:c>
      <x:c r="V1" s="7" t="str">
        <x:v>Статус в БД</x:v>
      </x:c>
      <x:c r="W1" s="7" t="str">
        <x:v>Дата запуска</x:v>
      </x:c>
      <x:c r="X1" s="7" t="str">
        <x:v>Ссылка на заказ</x:v>
      </x:c>
      <x:c r="Y1" s="7" t="str">
        <x:v>ID операций</x:v>
      </x:c>
      <x:c r="Z1" s="7" t="str">
        <x:v>HTTP-статус / аутентификация</x:v>
      </x:c>
      <x:c r="AA1" s="7" t="str">
        <x:v>Полный сохранённый ответ BCC</x:v>
      </x:c>
    </x:row>
    <x:row r="2" ht="112" customHeight="1">
      <x:c r="A2" s="8" t="str">
        <x:v>2.1</x:v>
      </x:c>
      <x:c r="B2" s="8" t="n">
        <x:v>1</x:v>
      </x:c>
      <x:c r="C2" s="8" t="str">
        <x:v>Покупка</x:v>
      </x:c>
      <x:c r="D2" s="8" t="str">
        <x:v>TRTYPE=1: Challenge Flow + Fingerprint</x:v>
      </x:c>
      <x:c r="E2" s="8" t="str">
        <x:v>1</x:v>
      </x:c>
      <x:c r="F2" s="8" t="str">
        <x:v>challenge+fingerprint</x:v>
      </x:c>
      <x:c r="G2" s="8"/>
      <x:c r="H2" s="8"/>
      <x:c r="I2" s="8"/>
      <x:c r="J2" s="8"/>
      <x:c r="K2" s="8"/>
      <x:c r="L2" s="8"/>
      <x:c r="M2" s="8"/>
      <x:c r="N2" s="8"/>
      <x:c r="O2" s="8"/>
      <x:c r="P2" s="13" t="str">
        <x:v>НЕ ВЫПОЛНЕН</x:v>
      </x:c>
      <x:c r="Q2" s="8" t="str">
        <x:v>Ожидает отдельного прохождения через пользовательский интерфейс Fenix SLS и тестовый интерфейс BCC.</x:v>
      </x:c>
      <x:c r="R2" s="8" t="str"/>
      <x:c r="S2" s="8"/>
      <x:c r="T2" s="8"/>
      <x:c r="U2" s="8"/>
      <x:c r="V2" s="8"/>
      <x:c r="W2" s="8"/>
      <x:c r="X2" s="8"/>
      <x:c r="Y2" s="8" t="str"/>
      <x:c r="Z2" s="8" t="str"/>
      <x:c r="AA2" s="8" t="str"/>
    </x:row>
    <x:row r="3" ht="112" customHeight="1">
      <x:c r="A3" s="9" t="str">
        <x:v>2.2</x:v>
      </x:c>
      <x:c r="B3" s="9" t="n">
        <x:v>2</x:v>
      </x:c>
      <x:c r="C3" s="9" t="str">
        <x:v>Покупка</x:v>
      </x:c>
      <x:c r="D3" s="9" t="str">
        <x:v>TRTYPE=1: Challenge Flow</x:v>
      </x:c>
      <x:c r="E3" s="9" t="str">
        <x:v>1</x:v>
      </x:c>
      <x:c r="F3" s="9" t="str">
        <x:v>challenge</x:v>
      </x:c>
      <x:c r="G3" s="9"/>
      <x:c r="H3" s="9"/>
      <x:c r="I3" s="9"/>
      <x:c r="J3" s="9"/>
      <x:c r="K3" s="9"/>
      <x:c r="L3" s="9"/>
      <x:c r="M3" s="9"/>
      <x:c r="N3" s="9"/>
      <x:c r="O3" s="9"/>
      <x:c r="P3" s="13" t="str">
        <x:v>НЕ ВЫПОЛНЕН</x:v>
      </x:c>
      <x:c r="Q3" s="9" t="str">
        <x:v>Ожидает отдельного прохождения через пользовательский интерфейс Fenix SLS и тестовый интерфейс BCC.</x:v>
      </x:c>
      <x:c r="R3" s="9" t="str"/>
      <x:c r="S3" s="9"/>
      <x:c r="T3" s="9"/>
      <x:c r="U3" s="9"/>
      <x:c r="V3" s="9"/>
      <x:c r="W3" s="9"/>
      <x:c r="X3" s="9"/>
      <x:c r="Y3" s="9" t="str"/>
      <x:c r="Z3" s="9" t="str"/>
      <x:c r="AA3" s="9" t="str"/>
    </x:row>
    <x:row r="4" ht="112" customHeight="1">
      <x:c r="A4" s="8" t="str">
        <x:v>2.3</x:v>
      </x:c>
      <x:c r="B4" s="8" t="n">
        <x:v>3</x:v>
      </x:c>
      <x:c r="C4" s="8" t="str">
        <x:v>Покупка</x:v>
      </x:c>
      <x:c r="D4" s="8" t="str">
        <x:v>TRTYPE=1: Frictionless Flow + Fingerprint</x:v>
      </x:c>
      <x:c r="E4" s="8" t="str">
        <x:v>1</x:v>
      </x:c>
      <x:c r="F4" s="8" t="str">
        <x:v>frictionless+fingerprint</x:v>
      </x:c>
      <x:c r="G4" s="8"/>
      <x:c r="H4" s="8"/>
      <x:c r="I4" s="8"/>
      <x:c r="J4" s="8"/>
      <x:c r="K4" s="8"/>
      <x:c r="L4" s="8"/>
      <x:c r="M4" s="8"/>
      <x:c r="N4" s="8"/>
      <x:c r="O4" s="8"/>
      <x:c r="P4" s="13" t="str">
        <x:v>НЕ ВЫПОЛНЕН</x:v>
      </x:c>
      <x:c r="Q4" s="8" t="str">
        <x:v>Ожидает отдельного прохождения через пользовательский интерфейс Fenix SLS и тестовый интерфейс BCC.</x:v>
      </x:c>
      <x:c r="R4" s="8" t="str"/>
      <x:c r="S4" s="8"/>
      <x:c r="T4" s="8"/>
      <x:c r="U4" s="8"/>
      <x:c r="V4" s="8"/>
      <x:c r="W4" s="8"/>
      <x:c r="X4" s="8"/>
      <x:c r="Y4" s="8" t="str"/>
      <x:c r="Z4" s="8" t="str"/>
      <x:c r="AA4" s="8" t="str"/>
    </x:row>
    <x:row r="5" ht="112" customHeight="1">
      <x:c r="A5" s="9" t="str">
        <x:v>2.4</x:v>
      </x:c>
      <x:c r="B5" s="9" t="n">
        <x:v>4</x:v>
      </x:c>
      <x:c r="C5" s="9" t="str">
        <x:v>Покупка</x:v>
      </x:c>
      <x:c r="D5" s="9" t="str">
        <x:v>TRTYPE=1: Frictionless Flow</x:v>
      </x:c>
      <x:c r="E5" s="9" t="str">
        <x:v>1</x:v>
      </x:c>
      <x:c r="F5" s="9" t="str">
        <x:v>frictionless</x:v>
      </x:c>
      <x:c r="G5" s="9"/>
      <x:c r="H5" s="9"/>
      <x:c r="I5" s="9"/>
      <x:c r="J5" s="9"/>
      <x:c r="K5" s="9"/>
      <x:c r="L5" s="9"/>
      <x:c r="M5" s="9"/>
      <x:c r="N5" s="9"/>
      <x:c r="O5" s="9"/>
      <x:c r="P5" s="13" t="str">
        <x:v>НЕ ВЫПОЛНЕН</x:v>
      </x:c>
      <x:c r="Q5" s="9" t="str">
        <x:v>Ожидает отдельного прохождения через пользовательский интерфейс Fenix SLS и тестовый интерфейс BCC.</x:v>
      </x:c>
      <x:c r="R5" s="9" t="str"/>
      <x:c r="S5" s="9"/>
      <x:c r="T5" s="9"/>
      <x:c r="U5" s="9"/>
      <x:c r="V5" s="9"/>
      <x:c r="W5" s="9"/>
      <x:c r="X5" s="9"/>
      <x:c r="Y5" s="9" t="str"/>
      <x:c r="Z5" s="9" t="str"/>
      <x:c r="AA5" s="9" t="str"/>
    </x:row>
    <x:row r="6" ht="112" customHeight="1">
      <x:c r="A6" s="8" t="str">
        <x:v>10.2</x:v>
      </x:c>
      <x:c r="B6" s="8" t="n">
        <x:v>5</x:v>
      </x:c>
      <x:c r="C6" s="8" t="str">
        <x:v>Возврат</x:v>
      </x:c>
      <x:c r="D6" s="8" t="str">
        <x:v>TRTYPE=14: полный возврат успешной покупки</x:v>
      </x:c>
      <x:c r="E6" s="8" t="str">
        <x:v>14</x:v>
      </x:c>
      <x:c r="F6" s="8" t="str">
        <x:v>admin-refund</x:v>
      </x:c>
      <x:c r="G6" s="8"/>
      <x:c r="H6" s="8"/>
      <x:c r="I6" s="8"/>
      <x:c r="J6" s="8"/>
      <x:c r="K6" s="8"/>
      <x:c r="L6" s="8"/>
      <x:c r="M6" s="8"/>
      <x:c r="N6" s="8"/>
      <x:c r="O6" s="8"/>
      <x:c r="P6" s="13" t="str">
        <x:v>НЕ ВЫПОЛНЕН</x:v>
      </x:c>
      <x:c r="Q6" s="8" t="str">
        <x:v>Ожидает успешную исходную UI-покупку и запуск возврата кнопкой в защищённой админке.</x:v>
      </x:c>
      <x:c r="R6" s="8" t="str"/>
      <x:c r="S6" s="8"/>
      <x:c r="T6" s="8"/>
      <x:c r="U6" s="8"/>
      <x:c r="V6" s="8"/>
      <x:c r="W6" s="8"/>
      <x:c r="X6" s="8"/>
      <x:c r="Y6" s="8" t="str"/>
      <x:c r="Z6" s="8" t="str"/>
      <x:c r="AA6" s="8" t="str"/>
    </x:row>
    <x:row r="7" ht="112" customHeight="1">
      <x:c r="A7" s="9" t="str">
        <x:v>15.1</x:v>
      </x:c>
      <x:c r="B7" s="9" t="n">
        <x:v>6</x:v>
      </x:c>
      <x:c r="C7" s="9" t="str">
        <x:v>Проверка статуса</x:v>
      </x:c>
      <x:c r="D7" s="9" t="str">
        <x:v>TRTYPE=90 + TRAN_TRTYPE=1: проверка статуса покупки</x:v>
      </x:c>
      <x:c r="E7" s="9" t="str">
        <x:v>90</x:v>
      </x:c>
      <x:c r="F7" s="9" t="str">
        <x:v>admin-status-purchase</x:v>
      </x:c>
      <x:c r="G7" s="9"/>
      <x:c r="H7" s="9"/>
      <x:c r="I7" s="9"/>
      <x:c r="J7" s="9"/>
      <x:c r="K7" s="9"/>
      <x:c r="L7" s="9"/>
      <x:c r="M7" s="9"/>
      <x:c r="N7" s="9"/>
      <x:c r="O7" s="9"/>
      <x:c r="P7" s="13" t="str">
        <x:v>НЕ ВЫПОЛНЕН</x:v>
      </x:c>
      <x:c r="Q7" s="9" t="str">
        <x:v>Ожидает исходную UI-покупку и запуск TRTYPE=90 кнопкой защищённой админки.</x:v>
      </x:c>
      <x:c r="R7" s="9" t="str"/>
      <x:c r="S7" s="9" t="str">
        <x:v>1</x:v>
      </x:c>
      <x:c r="T7" s="9"/>
      <x:c r="U7" s="9"/>
      <x:c r="V7" s="9"/>
      <x:c r="W7" s="9"/>
      <x:c r="X7" s="9"/>
      <x:c r="Y7" s="9" t="str"/>
      <x:c r="Z7" s="9" t="str"/>
      <x:c r="AA7" s="9" t="str"/>
    </x:row>
    <x:row r="8" ht="112" customHeight="1">
      <x:c r="A8" s="8" t="str">
        <x:v>15.1</x:v>
      </x:c>
      <x:c r="B8" s="8" t="n">
        <x:v>7</x:v>
      </x:c>
      <x:c r="C8" s="8" t="str">
        <x:v>Проверка статуса</x:v>
      </x:c>
      <x:c r="D8" s="8" t="str">
        <x:v>TRTYPE=90 + TRAN_TRTYPE=14: проверка статуса возврата</x:v>
      </x:c>
      <x:c r="E8" s="8" t="str">
        <x:v>90</x:v>
      </x:c>
      <x:c r="F8" s="8" t="str">
        <x:v>admin-status-refund</x:v>
      </x:c>
      <x:c r="G8" s="8"/>
      <x:c r="H8" s="8"/>
      <x:c r="I8" s="8"/>
      <x:c r="J8" s="8"/>
      <x:c r="K8" s="8"/>
      <x:c r="L8" s="8"/>
      <x:c r="M8" s="8"/>
      <x:c r="N8" s="8"/>
      <x:c r="O8" s="8"/>
      <x:c r="P8" s="13" t="str">
        <x:v>НЕ ВЫПОЛНЕН</x:v>
      </x:c>
      <x:c r="Q8" s="8" t="str">
        <x:v>Ожидает исходную UI-покупку, админский возврат и запуск TRTYPE=90 кнопкой защищённой админки.</x:v>
      </x:c>
      <x:c r="R8" s="8" t="str"/>
      <x:c r="S8" s="8" t="str">
        <x:v>14</x:v>
      </x:c>
      <x:c r="T8" s="8"/>
      <x:c r="U8" s="8"/>
      <x:c r="V8" s="8"/>
      <x:c r="W8" s="8"/>
      <x:c r="X8" s="8"/>
      <x:c r="Y8" s="8" t="str"/>
      <x:c r="Z8" s="8" t="str"/>
      <x:c r="AA8" s="8" t="str"/>
    </x:row>
  </x:sheetData>
  <x:pageMargins left="0.7" right="0.7" top="0.75" bottom="0.75" header="0.3" footer="0.3"/>
  <x:tableParts count="1">
    <x:tablePart xmlns:r="http://schemas.openxmlformats.org/officeDocument/2006/relationships" r:id="R113845ebc28640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38" hidden="0" customWidth="1"/>
    <x:col min="5" max="5" width="14" hidden="0" customWidth="1"/>
    <x:col min="6" max="6" width="10" hidden="0" customWidth="1"/>
    <x:col min="7" max="7" width="14" hidden="0" customWidth="1"/>
    <x:col min="8" max="8" width="100" hidden="0" customWidth="1"/>
  </x:cols>
  <x:sheetData>
    <x:row r="1">
      <x:c r="A1" s="6" t="str">
        <x:v>№ строки Excel</x:v>
      </x:c>
      <x:c r="B1" s="6" t="str">
        <x:v>№ кейса</x:v>
      </x:c>
      <x:c r="C1" s="6" t="str">
        <x:v>ORDER</x:v>
      </x:c>
      <x:c r="D1" s="6" t="str">
        <x:v>ID операции</x:v>
      </x:c>
      <x:c r="E1" s="6" t="str">
        <x:v>Тип</x:v>
      </x:c>
      <x:c r="F1" s="6" t="str">
        <x:v>Часть</x:v>
      </x:c>
      <x:c r="G1" s="6" t="str">
        <x:v>Всего частей</x:v>
      </x:c>
      <x:c r="H1" s="6" t="str">
        <x:v>Содержимое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22" hidden="0" customWidth="1"/>
  </x:cols>
  <x:sheetData>
    <x:row r="1">
      <x:c r="A1" s="17" t="str">
        <x:v>Проверка</x:v>
      </x:c>
      <x:c r="B1" s="17" t="str">
        <x:v>Значение</x:v>
      </x:c>
    </x:row>
    <x:row r="2">
      <x:c r="A2" s="15" t="str">
        <x:v>Всего кейсов</x:v>
      </x:c>
      <x:c r="B2" s="15" t="n">
        <x:v>7</x:v>
      </x:c>
    </x:row>
    <x:row r="3">
      <x:c r="A3" s="15" t="str">
        <x:v>ПРОЙДЕН</x:v>
      </x:c>
      <x:c r="B3" s="15" t="n">
        <x:f>COUNTIF('Тест-кейсы'!P2:P8,"ПРОЙДЕН")</x:f>
        <x:v>0</x:v>
      </x:c>
    </x:row>
    <x:row r="4">
      <x:c r="A4" s="15" t="str">
        <x:v>НЕ ПРОЙДЕН</x:v>
      </x:c>
      <x:c r="B4" s="15" t="n">
        <x:f>COUNTIF('Тест-кейсы'!P2:P8,"НЕ ПРОЙДЕН")</x:f>
        <x:v>0</x:v>
      </x:c>
    </x:row>
    <x:row r="5">
      <x:c r="A5" s="15" t="str">
        <x:v>НЕ ВЫПОЛНЕН</x:v>
      </x:c>
      <x:c r="B5" s="15" t="n">
        <x:f>COUNTIF('Тест-кейсы'!P2:P8,"НЕ ВЫПОЛНЕН")</x:f>
        <x:v>7</x:v>
      </x:c>
    </x:row>
    <x:row r="6">
      <x:c r="A6" s="15" t="str">
        <x:v>Файл сформирован из case-manifest и полных постраничных экспортов</x:v>
      </x:c>
      <x:c r="B6" s="15" t="str">
        <x:v>Да</x:v>
      </x:c>
    </x:row>
  </x:sheetData>
  <x:pageMargins left="0.7" right="0.7" top="0.75" bottom="0.75" header="0.3" footer="0.3"/>
</x:worksheet>
</file>